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per\OneDrive\바탕 화면\"/>
    </mc:Choice>
  </mc:AlternateContent>
  <xr:revisionPtr revIDLastSave="0" documentId="13_ncr:1_{EE57499C-1A1D-4FF3-BA2D-771370ADF3E9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최종 집계" sheetId="1" r:id="rId1"/>
    <sheet name="퍼센트" sheetId="2" r:id="rId2"/>
    <sheet name="row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K4" i="2"/>
  <c r="T5" i="2"/>
  <c r="U5" i="2"/>
  <c r="U6" i="2"/>
  <c r="V6" i="2"/>
  <c r="W7" i="2"/>
  <c r="Q8" i="2"/>
  <c r="R8" i="2"/>
  <c r="S8" i="2"/>
  <c r="D2" i="2"/>
  <c r="L2" i="2"/>
  <c r="T2" i="2"/>
  <c r="U2" i="2"/>
  <c r="B2" i="1"/>
  <c r="B2" i="2" s="1"/>
  <c r="C2" i="1"/>
  <c r="D2" i="1"/>
  <c r="E2" i="1"/>
  <c r="E2" i="2" s="1"/>
  <c r="F2" i="1"/>
  <c r="F2" i="2" s="1"/>
  <c r="G2" i="1"/>
  <c r="G2" i="2" s="1"/>
  <c r="H2" i="1"/>
  <c r="H2" i="2" s="1"/>
  <c r="I2" i="1"/>
  <c r="J2" i="1"/>
  <c r="K2" i="1"/>
  <c r="L2" i="1"/>
  <c r="M2" i="1"/>
  <c r="M2" i="2" s="1"/>
  <c r="N2" i="1"/>
  <c r="N2" i="2" s="1"/>
  <c r="O2" i="1"/>
  <c r="O2" i="2" s="1"/>
  <c r="P2" i="1"/>
  <c r="P2" i="2" s="1"/>
  <c r="Q2" i="1"/>
  <c r="R2" i="1"/>
  <c r="S2" i="1"/>
  <c r="T2" i="1"/>
  <c r="U2" i="1"/>
  <c r="V2" i="1"/>
  <c r="V2" i="2" s="1"/>
  <c r="W2" i="1"/>
  <c r="W2" i="2" s="1"/>
  <c r="B3" i="1"/>
  <c r="B3" i="2" s="1"/>
  <c r="C3" i="1"/>
  <c r="C3" i="2" s="1"/>
  <c r="D3" i="1"/>
  <c r="D3" i="2" s="1"/>
  <c r="E3" i="1"/>
  <c r="E3" i="2" s="1"/>
  <c r="F3" i="1"/>
  <c r="F3" i="2" s="1"/>
  <c r="G3" i="1"/>
  <c r="G3" i="2" s="1"/>
  <c r="H3" i="1"/>
  <c r="H3" i="2" s="1"/>
  <c r="I3" i="1"/>
  <c r="I3" i="2" s="1"/>
  <c r="J3" i="1"/>
  <c r="J3" i="2" s="1"/>
  <c r="K3" i="1"/>
  <c r="K3" i="2" s="1"/>
  <c r="L3" i="1"/>
  <c r="L3" i="2" s="1"/>
  <c r="M3" i="1"/>
  <c r="M3" i="2" s="1"/>
  <c r="N3" i="1"/>
  <c r="N3" i="2" s="1"/>
  <c r="O3" i="1"/>
  <c r="O3" i="2" s="1"/>
  <c r="P3" i="1"/>
  <c r="P3" i="2" s="1"/>
  <c r="Q3" i="1"/>
  <c r="Q3" i="2" s="1"/>
  <c r="R3" i="1"/>
  <c r="R3" i="2" s="1"/>
  <c r="S3" i="1"/>
  <c r="S3" i="2" s="1"/>
  <c r="T3" i="1"/>
  <c r="T3" i="2" s="1"/>
  <c r="U3" i="1"/>
  <c r="U3" i="2" s="1"/>
  <c r="V3" i="1"/>
  <c r="V3" i="2" s="1"/>
  <c r="W3" i="1"/>
  <c r="W3" i="2" s="1"/>
  <c r="B4" i="1"/>
  <c r="B4" i="2" s="1"/>
  <c r="C4" i="1"/>
  <c r="C4" i="2" s="1"/>
  <c r="D4" i="1"/>
  <c r="D4" i="2" s="1"/>
  <c r="E4" i="1"/>
  <c r="E4" i="2" s="1"/>
  <c r="F4" i="1"/>
  <c r="F4" i="2" s="1"/>
  <c r="G4" i="1"/>
  <c r="G4" i="2" s="1"/>
  <c r="H4" i="1"/>
  <c r="H4" i="2" s="1"/>
  <c r="I4" i="1"/>
  <c r="I4" i="2" s="1"/>
  <c r="J4" i="1"/>
  <c r="K4" i="1"/>
  <c r="L4" i="1"/>
  <c r="L4" i="2" s="1"/>
  <c r="M4" i="1"/>
  <c r="M4" i="2" s="1"/>
  <c r="N4" i="1"/>
  <c r="N4" i="2" s="1"/>
  <c r="O4" i="1"/>
  <c r="O4" i="2" s="1"/>
  <c r="P4" i="1"/>
  <c r="P4" i="2" s="1"/>
  <c r="Q4" i="1"/>
  <c r="Q4" i="2" s="1"/>
  <c r="R4" i="1"/>
  <c r="R4" i="2" s="1"/>
  <c r="S4" i="1"/>
  <c r="S4" i="2" s="1"/>
  <c r="T4" i="1"/>
  <c r="T4" i="2" s="1"/>
  <c r="U4" i="1"/>
  <c r="U4" i="2" s="1"/>
  <c r="V4" i="1"/>
  <c r="V4" i="2" s="1"/>
  <c r="W4" i="1"/>
  <c r="W4" i="2" s="1"/>
  <c r="B5" i="1"/>
  <c r="B5" i="2" s="1"/>
  <c r="C5" i="1"/>
  <c r="C5" i="2" s="1"/>
  <c r="D5" i="1"/>
  <c r="D5" i="2" s="1"/>
  <c r="E5" i="1"/>
  <c r="E5" i="2" s="1"/>
  <c r="F5" i="1"/>
  <c r="F5" i="2" s="1"/>
  <c r="G5" i="1"/>
  <c r="G5" i="2" s="1"/>
  <c r="H5" i="1"/>
  <c r="H5" i="2" s="1"/>
  <c r="I5" i="1"/>
  <c r="I5" i="2" s="1"/>
  <c r="J5" i="1"/>
  <c r="J5" i="2" s="1"/>
  <c r="K5" i="1"/>
  <c r="K5" i="2" s="1"/>
  <c r="L5" i="1"/>
  <c r="L5" i="2" s="1"/>
  <c r="M5" i="1"/>
  <c r="M5" i="2" s="1"/>
  <c r="N5" i="1"/>
  <c r="N5" i="2" s="1"/>
  <c r="O5" i="1"/>
  <c r="O5" i="2" s="1"/>
  <c r="P5" i="1"/>
  <c r="P5" i="2" s="1"/>
  <c r="Q5" i="1"/>
  <c r="Q5" i="2" s="1"/>
  <c r="R5" i="1"/>
  <c r="R5" i="2" s="1"/>
  <c r="S5" i="1"/>
  <c r="S5" i="2" s="1"/>
  <c r="T5" i="1"/>
  <c r="U5" i="1"/>
  <c r="V5" i="1"/>
  <c r="V5" i="2" s="1"/>
  <c r="W5" i="1"/>
  <c r="W5" i="2" s="1"/>
  <c r="B6" i="1"/>
  <c r="B6" i="2" s="1"/>
  <c r="C6" i="1"/>
  <c r="C6" i="2" s="1"/>
  <c r="D6" i="1"/>
  <c r="D6" i="2" s="1"/>
  <c r="E6" i="1"/>
  <c r="E6" i="2" s="1"/>
  <c r="F6" i="1"/>
  <c r="F6" i="2" s="1"/>
  <c r="G6" i="1"/>
  <c r="G6" i="2" s="1"/>
  <c r="H6" i="1"/>
  <c r="H6" i="2" s="1"/>
  <c r="I6" i="1"/>
  <c r="I6" i="2" s="1"/>
  <c r="J6" i="1"/>
  <c r="J6" i="2" s="1"/>
  <c r="K6" i="1"/>
  <c r="K6" i="2" s="1"/>
  <c r="L6" i="1"/>
  <c r="L6" i="2" s="1"/>
  <c r="M6" i="1"/>
  <c r="M6" i="2" s="1"/>
  <c r="N6" i="1"/>
  <c r="N6" i="2" s="1"/>
  <c r="O6" i="1"/>
  <c r="O6" i="2" s="1"/>
  <c r="P6" i="1"/>
  <c r="P6" i="2" s="1"/>
  <c r="Q6" i="1"/>
  <c r="Q6" i="2" s="1"/>
  <c r="R6" i="1"/>
  <c r="R6" i="2" s="1"/>
  <c r="S6" i="1"/>
  <c r="S6" i="2" s="1"/>
  <c r="T6" i="1"/>
  <c r="T6" i="2" s="1"/>
  <c r="U6" i="1"/>
  <c r="V6" i="1"/>
  <c r="W6" i="1"/>
  <c r="W6" i="2" s="1"/>
  <c r="B7" i="1"/>
  <c r="B7" i="2" s="1"/>
  <c r="C7" i="1"/>
  <c r="C7" i="2" s="1"/>
  <c r="D7" i="1"/>
  <c r="D7" i="2" s="1"/>
  <c r="E7" i="1"/>
  <c r="E7" i="2" s="1"/>
  <c r="F7" i="1"/>
  <c r="F7" i="2" s="1"/>
  <c r="G7" i="1"/>
  <c r="G7" i="2" s="1"/>
  <c r="H7" i="1"/>
  <c r="H7" i="2" s="1"/>
  <c r="I7" i="1"/>
  <c r="I7" i="2" s="1"/>
  <c r="J7" i="1"/>
  <c r="J7" i="2" s="1"/>
  <c r="K7" i="1"/>
  <c r="K7" i="2" s="1"/>
  <c r="L7" i="1"/>
  <c r="L7" i="2" s="1"/>
  <c r="M7" i="1"/>
  <c r="M7" i="2" s="1"/>
  <c r="N7" i="1"/>
  <c r="N7" i="2" s="1"/>
  <c r="O7" i="1"/>
  <c r="O7" i="2" s="1"/>
  <c r="P7" i="1"/>
  <c r="P7" i="2" s="1"/>
  <c r="Q7" i="1"/>
  <c r="Q7" i="2" s="1"/>
  <c r="R7" i="1"/>
  <c r="R7" i="2" s="1"/>
  <c r="S7" i="1"/>
  <c r="S7" i="2" s="1"/>
  <c r="T7" i="1"/>
  <c r="T7" i="2" s="1"/>
  <c r="U7" i="1"/>
  <c r="U7" i="2" s="1"/>
  <c r="V7" i="1"/>
  <c r="V7" i="2" s="1"/>
  <c r="W7" i="1"/>
  <c r="B8" i="1"/>
  <c r="B8" i="2" s="1"/>
  <c r="C8" i="1"/>
  <c r="C8" i="2" s="1"/>
  <c r="D8" i="1"/>
  <c r="D8" i="2" s="1"/>
  <c r="E8" i="1"/>
  <c r="E8" i="2" s="1"/>
  <c r="F8" i="1"/>
  <c r="F8" i="2" s="1"/>
  <c r="G8" i="1"/>
  <c r="G8" i="2" s="1"/>
  <c r="H8" i="1"/>
  <c r="H8" i="2" s="1"/>
  <c r="I8" i="1"/>
  <c r="I8" i="2" s="1"/>
  <c r="J8" i="1"/>
  <c r="J8" i="2" s="1"/>
  <c r="K8" i="1"/>
  <c r="K8" i="2" s="1"/>
  <c r="L8" i="1"/>
  <c r="L8" i="2" s="1"/>
  <c r="M8" i="1"/>
  <c r="M8" i="2" s="1"/>
  <c r="N8" i="1"/>
  <c r="N8" i="2" s="1"/>
  <c r="O8" i="1"/>
  <c r="O8" i="2" s="1"/>
  <c r="P8" i="1"/>
  <c r="P8" i="2" s="1"/>
  <c r="Q8" i="1"/>
  <c r="R8" i="1"/>
  <c r="S8" i="1"/>
  <c r="T8" i="1"/>
  <c r="T8" i="2" s="1"/>
  <c r="U8" i="1"/>
  <c r="U8" i="2" s="1"/>
  <c r="V8" i="1"/>
  <c r="V8" i="2" s="1"/>
  <c r="W8" i="1"/>
  <c r="W8" i="2" s="1"/>
  <c r="Z2" i="2"/>
  <c r="I2" i="2" s="1"/>
  <c r="S2" i="2" l="1"/>
  <c r="K2" i="2"/>
  <c r="C2" i="2"/>
  <c r="C9" i="2" s="1"/>
  <c r="R2" i="2"/>
  <c r="J2" i="2"/>
  <c r="Q2" i="2"/>
  <c r="Q9" i="2" s="1"/>
  <c r="J9" i="2"/>
  <c r="P9" i="2"/>
  <c r="U9" i="2"/>
  <c r="K9" i="2"/>
  <c r="D9" i="2"/>
  <c r="H9" i="2"/>
  <c r="W9" i="2"/>
  <c r="R9" i="2"/>
  <c r="N9" i="2"/>
  <c r="B9" i="2"/>
  <c r="E9" i="2"/>
  <c r="L9" i="2"/>
  <c r="S9" i="2"/>
  <c r="I9" i="2"/>
  <c r="O9" i="2"/>
  <c r="M9" i="2"/>
  <c r="T9" i="2"/>
  <c r="V9" i="2"/>
  <c r="F9" i="2"/>
  <c r="G9" i="2"/>
</calcChain>
</file>

<file path=xl/sharedStrings.xml><?xml version="1.0" encoding="utf-8"?>
<sst xmlns="http://schemas.openxmlformats.org/spreadsheetml/2006/main" count="37" uniqueCount="28">
  <si>
    <t>2</t>
  </si>
  <si>
    <t>8</t>
  </si>
  <si>
    <t>19</t>
  </si>
  <si>
    <t>15</t>
  </si>
  <si>
    <t>14</t>
  </si>
  <si>
    <t>20</t>
  </si>
  <si>
    <t>6</t>
  </si>
  <si>
    <t>번호</t>
  </si>
  <si>
    <t>16</t>
  </si>
  <si>
    <t>17</t>
  </si>
  <si>
    <t>3</t>
  </si>
  <si>
    <t>12</t>
  </si>
  <si>
    <t>4</t>
  </si>
  <si>
    <t>5</t>
  </si>
  <si>
    <t>7</t>
  </si>
  <si>
    <t>1</t>
  </si>
  <si>
    <t>9</t>
  </si>
  <si>
    <t>10</t>
  </si>
  <si>
    <t>13</t>
  </si>
  <si>
    <t>1번기타</t>
  </si>
  <si>
    <t>16번기타</t>
  </si>
  <si>
    <t>11_2</t>
  </si>
  <si>
    <t>18_2</t>
  </si>
  <si>
    <t>18_1</t>
  </si>
  <si>
    <t>11_1</t>
  </si>
  <si>
    <t>총 응답자</t>
  </si>
  <si>
    <r>
      <t>1</t>
    </r>
    <r>
      <rPr>
        <sz val="11"/>
        <color rgb="FF000000"/>
        <rFont val="돋움"/>
        <family val="3"/>
        <charset val="129"/>
      </rPr>
      <t>번기타</t>
    </r>
  </si>
  <si>
    <r>
      <t>16</t>
    </r>
    <r>
      <rPr>
        <sz val="11"/>
        <color rgb="FF000000"/>
        <rFont val="돋움"/>
        <family val="3"/>
        <charset val="129"/>
      </rPr>
      <t>번기타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</si>
</sst>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5" x14ac:knownFonts="1">
    <font>
      <sz val="11"/>
      <color rgb="FF000000"/>
      <name val="맑은 고딕"/>
    </font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right" vertical="center"/>
    </xf>
    <xf numFmtId="41" fontId="2" fillId="0" borderId="1" xfId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9" fontId="0" fillId="0" borderId="0" xfId="0" applyNumberFormat="1">
      <alignment vertical="center"/>
    </xf>
    <xf numFmtId="0" fontId="1" fillId="0" borderId="0" xfId="0" applyFont="1" applyAlignment="1"/>
    <xf numFmtId="0" fontId="0" fillId="0" borderId="2" xfId="0" applyBorder="1">
      <alignment vertical="center"/>
    </xf>
    <xf numFmtId="0" fontId="4" fillId="0" borderId="0" xfId="0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W13"/>
  <sheetViews>
    <sheetView zoomScale="80" zoomScaleNormal="80" zoomScaleSheetLayoutView="80" workbookViewId="0">
      <pane ySplit="1" topLeftCell="A2" activePane="bottomLeft" state="frozen"/>
      <selection pane="bottomLeft" activeCell="N14" sqref="N14"/>
    </sheetView>
  </sheetViews>
  <sheetFormatPr defaultColWidth="9.140625" defaultRowHeight="17.600000000000001" x14ac:dyDescent="0.55000000000000004"/>
  <cols>
    <col min="1" max="1" width="9.85546875" bestFit="1" customWidth="1"/>
    <col min="2" max="4" width="9.140625" bestFit="1" customWidth="1"/>
    <col min="5" max="5" width="9" customWidth="1"/>
    <col min="6" max="9" width="9.140625" bestFit="1" customWidth="1"/>
    <col min="10" max="10" width="6.7109375" customWidth="1"/>
    <col min="11" max="17" width="9.640625" customWidth="1"/>
    <col min="18" max="23" width="9.140625" bestFit="1" customWidth="1"/>
  </cols>
  <sheetData>
    <row r="1" spans="1:23" ht="18.75" customHeight="1" x14ac:dyDescent="0.55000000000000004">
      <c r="A1" s="1"/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 t="s">
        <v>24</v>
      </c>
      <c r="M1" s="5" t="s">
        <v>21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 t="s">
        <v>23</v>
      </c>
      <c r="U1" s="4" t="s">
        <v>22</v>
      </c>
      <c r="V1" s="4">
        <v>19</v>
      </c>
      <c r="W1" s="4">
        <v>20</v>
      </c>
    </row>
    <row r="2" spans="1:23" ht="18.75" customHeight="1" x14ac:dyDescent="0.55000000000000004">
      <c r="A2" s="6">
        <v>1</v>
      </c>
      <c r="B2" s="9">
        <f>COUNTIF('row data'!B$2:B$150,1)</f>
        <v>0</v>
      </c>
      <c r="C2" s="9">
        <f>COUNTIF('row data'!C$2:C$150,1)</f>
        <v>0</v>
      </c>
      <c r="D2" s="9">
        <f>COUNTIF('row data'!D$2:D$150,1)</f>
        <v>0</v>
      </c>
      <c r="E2" s="9">
        <f>COUNTIF('row data'!E$2:E$150,1)</f>
        <v>0</v>
      </c>
      <c r="F2" s="9">
        <f>COUNTIF('row data'!F$2:F$150,1)</f>
        <v>0</v>
      </c>
      <c r="G2" s="9">
        <f>COUNTIF('row data'!G$2:G$150,1)</f>
        <v>0</v>
      </c>
      <c r="H2" s="9">
        <f>COUNTIF('row data'!H$2:H$150,1)</f>
        <v>0</v>
      </c>
      <c r="I2" s="9">
        <f>COUNTIF('row data'!I$2:I$150,1)</f>
        <v>0</v>
      </c>
      <c r="J2" s="9">
        <f>COUNTIF('row data'!J$2:J$150,1)</f>
        <v>0</v>
      </c>
      <c r="K2" s="9">
        <f>COUNTIF('row data'!K$2:K$150,1)</f>
        <v>0</v>
      </c>
      <c r="L2" s="9">
        <f>COUNTIF('row data'!L$2:L$150,1)</f>
        <v>0</v>
      </c>
      <c r="M2" s="9">
        <f>COUNTIF('row data'!M$2:M$150,1)</f>
        <v>0</v>
      </c>
      <c r="N2" s="9">
        <f>COUNTIF('row data'!N$2:N$150,1)</f>
        <v>0</v>
      </c>
      <c r="O2" s="9">
        <f>COUNTIF('row data'!O$2:O$150,1)</f>
        <v>0</v>
      </c>
      <c r="P2" s="9">
        <f>COUNTIF('row data'!P$2:P$150,1)</f>
        <v>0</v>
      </c>
      <c r="Q2" s="9">
        <f>COUNTIF('row data'!Q$2:Q$150,1)</f>
        <v>0</v>
      </c>
      <c r="R2" s="9">
        <f>COUNTIF('row data'!R$2:R$150,1)</f>
        <v>0</v>
      </c>
      <c r="S2" s="9">
        <f>COUNTIF('row data'!S$2:S$150,1)</f>
        <v>0</v>
      </c>
      <c r="T2" s="9">
        <f>COUNTIF('row data'!T$2:T$150,1)</f>
        <v>0</v>
      </c>
      <c r="U2" s="9">
        <f>COUNTIF('row data'!U$2:U$150,1)</f>
        <v>0</v>
      </c>
      <c r="V2" s="9">
        <f>COUNTIF('row data'!V$2:V$150,1)</f>
        <v>0</v>
      </c>
      <c r="W2" s="9">
        <f>COUNTIF('row data'!W$2:W$150,1)</f>
        <v>0</v>
      </c>
    </row>
    <row r="3" spans="1:23" ht="18.75" customHeight="1" x14ac:dyDescent="0.55000000000000004">
      <c r="A3" s="6">
        <v>2</v>
      </c>
      <c r="B3" s="9">
        <f>COUNTIF('row data'!B$2:B$150,2)</f>
        <v>0</v>
      </c>
      <c r="C3" s="9">
        <f>COUNTIF('row data'!C$2:C$150,2)</f>
        <v>0</v>
      </c>
      <c r="D3" s="9">
        <f>COUNTIF('row data'!D$2:D$150,2)</f>
        <v>0</v>
      </c>
      <c r="E3" s="9">
        <f>COUNTIF('row data'!E$2:E$150,2)</f>
        <v>0</v>
      </c>
      <c r="F3" s="9">
        <f>COUNTIF('row data'!F$2:F$150,2)</f>
        <v>0</v>
      </c>
      <c r="G3" s="9">
        <f>COUNTIF('row data'!G$2:G$150,2)</f>
        <v>0</v>
      </c>
      <c r="H3" s="9">
        <f>COUNTIF('row data'!H$2:H$150,2)</f>
        <v>0</v>
      </c>
      <c r="I3" s="9">
        <f>COUNTIF('row data'!I$2:I$150,2)</f>
        <v>0</v>
      </c>
      <c r="J3" s="9">
        <f>COUNTIF('row data'!J$2:J$150,2)</f>
        <v>0</v>
      </c>
      <c r="K3" s="9">
        <f>COUNTIF('row data'!K$2:K$150,2)</f>
        <v>0</v>
      </c>
      <c r="L3" s="9">
        <f>COUNTIF('row data'!L$2:L$150,2)</f>
        <v>0</v>
      </c>
      <c r="M3" s="9">
        <f>COUNTIF('row data'!M$2:M$150,2)</f>
        <v>0</v>
      </c>
      <c r="N3" s="9">
        <f>COUNTIF('row data'!N$2:N$150,2)</f>
        <v>0</v>
      </c>
      <c r="O3" s="9">
        <f>COUNTIF('row data'!O$2:O$150,2)</f>
        <v>0</v>
      </c>
      <c r="P3" s="9">
        <f>COUNTIF('row data'!P$2:P$150,2)</f>
        <v>0</v>
      </c>
      <c r="Q3" s="9">
        <f>COUNTIF('row data'!Q$2:Q$150,2)</f>
        <v>0</v>
      </c>
      <c r="R3" s="9">
        <f>COUNTIF('row data'!R$2:R$150,2)</f>
        <v>0</v>
      </c>
      <c r="S3" s="9">
        <f>COUNTIF('row data'!S$2:S$150,2)</f>
        <v>0</v>
      </c>
      <c r="T3" s="9">
        <f>COUNTIF('row data'!T$2:T$150,2)</f>
        <v>0</v>
      </c>
      <c r="U3" s="9">
        <f>COUNTIF('row data'!U$2:U$150,2)</f>
        <v>0</v>
      </c>
      <c r="V3" s="9">
        <f>COUNTIF('row data'!V$2:V$150,2)</f>
        <v>0</v>
      </c>
      <c r="W3" s="9">
        <f>COUNTIF('row data'!W$2:W$150,2)</f>
        <v>0</v>
      </c>
    </row>
    <row r="4" spans="1:23" ht="18.75" customHeight="1" x14ac:dyDescent="0.55000000000000004">
      <c r="A4" s="6">
        <v>3</v>
      </c>
      <c r="B4" s="9">
        <f>COUNTIF('row data'!B$2:B$150,3)</f>
        <v>0</v>
      </c>
      <c r="C4" s="9">
        <f>COUNTIF('row data'!C$2:C$150,3)</f>
        <v>0</v>
      </c>
      <c r="D4" s="9">
        <f>COUNTIF('row data'!D$2:D$150,3)</f>
        <v>0</v>
      </c>
      <c r="E4" s="9">
        <f>COUNTIF('row data'!E$2:E$150,3)</f>
        <v>0</v>
      </c>
      <c r="F4" s="9">
        <f>COUNTIF('row data'!F$2:F$150,3)</f>
        <v>0</v>
      </c>
      <c r="G4" s="9">
        <f>COUNTIF('row data'!G$2:G$150,3)</f>
        <v>0</v>
      </c>
      <c r="H4" s="9">
        <f>COUNTIF('row data'!H$2:H$150,3)</f>
        <v>0</v>
      </c>
      <c r="I4" s="9">
        <f>COUNTIF('row data'!I$2:I$150,3)</f>
        <v>0</v>
      </c>
      <c r="J4" s="9">
        <f>COUNTIF('row data'!J$2:J$150,3)</f>
        <v>0</v>
      </c>
      <c r="K4" s="9">
        <f>COUNTIF('row data'!K$2:K$150,3)</f>
        <v>0</v>
      </c>
      <c r="L4" s="9">
        <f>COUNTIF('row data'!L$2:L$150,3)</f>
        <v>0</v>
      </c>
      <c r="M4" s="9">
        <f>COUNTIF('row data'!M$2:M$150,3)</f>
        <v>0</v>
      </c>
      <c r="N4" s="9">
        <f>COUNTIF('row data'!N$2:N$150,3)</f>
        <v>0</v>
      </c>
      <c r="O4" s="9">
        <f>COUNTIF('row data'!O$2:O$150,3)</f>
        <v>0</v>
      </c>
      <c r="P4" s="9">
        <f>COUNTIF('row data'!P$2:P$150,3)</f>
        <v>0</v>
      </c>
      <c r="Q4" s="9">
        <f>COUNTIF('row data'!Q$2:Q$150,3)</f>
        <v>0</v>
      </c>
      <c r="R4" s="9">
        <f>COUNTIF('row data'!R$2:R$150,3)</f>
        <v>0</v>
      </c>
      <c r="S4" s="9">
        <f>COUNTIF('row data'!S$2:S$150,3)</f>
        <v>0</v>
      </c>
      <c r="T4" s="9">
        <f>COUNTIF('row data'!T$2:T$150,3)</f>
        <v>0</v>
      </c>
      <c r="U4" s="9">
        <f>COUNTIF('row data'!U$2:U$150,3)</f>
        <v>0</v>
      </c>
      <c r="V4" s="9">
        <f>COUNTIF('row data'!V$2:V$150,3)</f>
        <v>0</v>
      </c>
      <c r="W4" s="9">
        <f>COUNTIF('row data'!W$2:W$150,3)</f>
        <v>0</v>
      </c>
    </row>
    <row r="5" spans="1:23" ht="18.75" customHeight="1" x14ac:dyDescent="0.55000000000000004">
      <c r="A5" s="6">
        <v>4</v>
      </c>
      <c r="B5" s="9">
        <f>COUNTIF('row data'!B$2:B$150,4)</f>
        <v>0</v>
      </c>
      <c r="C5" s="9">
        <f>COUNTIF('row data'!C$2:C$150,4)</f>
        <v>0</v>
      </c>
      <c r="D5" s="9">
        <f>COUNTIF('row data'!D$2:D$150,4)</f>
        <v>0</v>
      </c>
      <c r="E5" s="9">
        <f>COUNTIF('row data'!E$2:E$150,4)</f>
        <v>0</v>
      </c>
      <c r="F5" s="9">
        <f>COUNTIF('row data'!F$2:F$150,4)</f>
        <v>0</v>
      </c>
      <c r="G5" s="9">
        <f>COUNTIF('row data'!G$2:G$150,4)</f>
        <v>0</v>
      </c>
      <c r="H5" s="9">
        <f>COUNTIF('row data'!H$2:H$150,4)</f>
        <v>0</v>
      </c>
      <c r="I5" s="9">
        <f>COUNTIF('row data'!I$2:I$150,4)</f>
        <v>0</v>
      </c>
      <c r="J5" s="9">
        <f>COUNTIF('row data'!J$2:J$150,4)</f>
        <v>0</v>
      </c>
      <c r="K5" s="9">
        <f>COUNTIF('row data'!K$2:K$150,4)</f>
        <v>0</v>
      </c>
      <c r="L5" s="9">
        <f>COUNTIF('row data'!L$2:L$150,4)</f>
        <v>0</v>
      </c>
      <c r="M5" s="9">
        <f>COUNTIF('row data'!M$2:M$150,4)</f>
        <v>0</v>
      </c>
      <c r="N5" s="9">
        <f>COUNTIF('row data'!N$2:N$150,4)</f>
        <v>0</v>
      </c>
      <c r="O5" s="9">
        <f>COUNTIF('row data'!O$2:O$150,4)</f>
        <v>0</v>
      </c>
      <c r="P5" s="9">
        <f>COUNTIF('row data'!P$2:P$150,4)</f>
        <v>0</v>
      </c>
      <c r="Q5" s="9">
        <f>COUNTIF('row data'!Q$2:Q$150,4)</f>
        <v>0</v>
      </c>
      <c r="R5" s="9">
        <f>COUNTIF('row data'!R$2:R$150,4)</f>
        <v>0</v>
      </c>
      <c r="S5" s="9">
        <f>COUNTIF('row data'!S$2:S$150,4)</f>
        <v>0</v>
      </c>
      <c r="T5" s="9">
        <f>COUNTIF('row data'!T$2:T$150,4)</f>
        <v>0</v>
      </c>
      <c r="U5" s="9">
        <f>COUNTIF('row data'!U$2:U$150,4)</f>
        <v>0</v>
      </c>
      <c r="V5" s="9">
        <f>COUNTIF('row data'!V$2:V$150,4)</f>
        <v>0</v>
      </c>
      <c r="W5" s="9">
        <f>COUNTIF('row data'!W$2:W$150,4)</f>
        <v>0</v>
      </c>
    </row>
    <row r="6" spans="1:23" ht="18.75" customHeight="1" x14ac:dyDescent="0.55000000000000004">
      <c r="A6" s="6">
        <v>5</v>
      </c>
      <c r="B6" s="9">
        <f>COUNTIF('row data'!B$2:B$150,5)</f>
        <v>0</v>
      </c>
      <c r="C6" s="9">
        <f>COUNTIF('row data'!C$2:C$150,5)</f>
        <v>0</v>
      </c>
      <c r="D6" s="9">
        <f>COUNTIF('row data'!D$2:D$150,5)</f>
        <v>0</v>
      </c>
      <c r="E6" s="9">
        <f>COUNTIF('row data'!E$2:E$150,5)</f>
        <v>0</v>
      </c>
      <c r="F6" s="9">
        <f>COUNTIF('row data'!F$2:F$150,5)</f>
        <v>0</v>
      </c>
      <c r="G6" s="9">
        <f>COUNTIF('row data'!G$2:G$150,5)</f>
        <v>0</v>
      </c>
      <c r="H6" s="9">
        <f>COUNTIF('row data'!H$2:H$150,5)</f>
        <v>0</v>
      </c>
      <c r="I6" s="9">
        <f>COUNTIF('row data'!I$2:I$150,5)</f>
        <v>0</v>
      </c>
      <c r="J6" s="9">
        <f>COUNTIF('row data'!J$2:J$150,5)</f>
        <v>0</v>
      </c>
      <c r="K6" s="9">
        <f>COUNTIF('row data'!K$2:K$150,5)</f>
        <v>0</v>
      </c>
      <c r="L6" s="9">
        <f>COUNTIF('row data'!L$2:L$150,5)</f>
        <v>0</v>
      </c>
      <c r="M6" s="9">
        <f>COUNTIF('row data'!M$2:M$150,5)</f>
        <v>0</v>
      </c>
      <c r="N6" s="9">
        <f>COUNTIF('row data'!N$2:N$150,5)</f>
        <v>0</v>
      </c>
      <c r="O6" s="9">
        <f>COUNTIF('row data'!O$2:O$150,5)</f>
        <v>0</v>
      </c>
      <c r="P6" s="9">
        <f>COUNTIF('row data'!P$2:P$150,5)</f>
        <v>0</v>
      </c>
      <c r="Q6" s="9">
        <f>COUNTIF('row data'!Q$2:Q$150,5)</f>
        <v>0</v>
      </c>
      <c r="R6" s="9">
        <f>COUNTIF('row data'!R$2:R$150,5)</f>
        <v>0</v>
      </c>
      <c r="S6" s="9">
        <f>COUNTIF('row data'!S$2:S$150,5)</f>
        <v>0</v>
      </c>
      <c r="T6" s="9">
        <f>COUNTIF('row data'!T$2:T$150,5)</f>
        <v>0</v>
      </c>
      <c r="U6" s="9">
        <f>COUNTIF('row data'!U$2:U$150,5)</f>
        <v>0</v>
      </c>
      <c r="V6" s="9">
        <f>COUNTIF('row data'!V$2:V$150,5)</f>
        <v>0</v>
      </c>
      <c r="W6" s="9">
        <f>COUNTIF('row data'!W$2:W$150,5)</f>
        <v>0</v>
      </c>
    </row>
    <row r="7" spans="1:23" ht="18.75" customHeight="1" x14ac:dyDescent="0.55000000000000004">
      <c r="A7" s="6">
        <v>6</v>
      </c>
      <c r="B7" s="9">
        <f>COUNTIF('row data'!B$2:B$150,6)</f>
        <v>0</v>
      </c>
      <c r="C7" s="9">
        <f>COUNTIF('row data'!C$2:C$150,6)</f>
        <v>0</v>
      </c>
      <c r="D7" s="9">
        <f>COUNTIF('row data'!D$2:D$150,6)</f>
        <v>0</v>
      </c>
      <c r="E7" s="9">
        <f>COUNTIF('row data'!E$2:E$150,6)</f>
        <v>0</v>
      </c>
      <c r="F7" s="9">
        <f>COUNTIF('row data'!F$2:F$150,6)</f>
        <v>0</v>
      </c>
      <c r="G7" s="9">
        <f>COUNTIF('row data'!G$2:G$150,6)</f>
        <v>0</v>
      </c>
      <c r="H7" s="9">
        <f>COUNTIF('row data'!H$2:H$150,6)</f>
        <v>0</v>
      </c>
      <c r="I7" s="9">
        <f>COUNTIF('row data'!I$2:I$150,6)</f>
        <v>0</v>
      </c>
      <c r="J7" s="9">
        <f>COUNTIF('row data'!J$2:J$150,6)</f>
        <v>0</v>
      </c>
      <c r="K7" s="9">
        <f>COUNTIF('row data'!K$2:K$150,6)</f>
        <v>0</v>
      </c>
      <c r="L7" s="9">
        <f>COUNTIF('row data'!L$2:L$150,6)</f>
        <v>0</v>
      </c>
      <c r="M7" s="9">
        <f>COUNTIF('row data'!M$2:M$150,6)</f>
        <v>0</v>
      </c>
      <c r="N7" s="9">
        <f>COUNTIF('row data'!N$2:N$150,6)</f>
        <v>0</v>
      </c>
      <c r="O7" s="9">
        <f>COUNTIF('row data'!O$2:O$150,6)</f>
        <v>0</v>
      </c>
      <c r="P7" s="9">
        <f>COUNTIF('row data'!P$2:P$150,6)</f>
        <v>0</v>
      </c>
      <c r="Q7" s="9">
        <f>COUNTIF('row data'!Q$2:Q$150,6)</f>
        <v>0</v>
      </c>
      <c r="R7" s="9">
        <f>COUNTIF('row data'!R$2:R$150,6)</f>
        <v>0</v>
      </c>
      <c r="S7" s="9">
        <f>COUNTIF('row data'!S$2:S$150,6)</f>
        <v>0</v>
      </c>
      <c r="T7" s="9">
        <f>COUNTIF('row data'!T$2:T$150,6)</f>
        <v>0</v>
      </c>
      <c r="U7" s="9">
        <f>COUNTIF('row data'!U$2:U$150,6)</f>
        <v>0</v>
      </c>
      <c r="V7" s="9">
        <f>COUNTIF('row data'!V$2:V$150,6)</f>
        <v>0</v>
      </c>
      <c r="W7" s="9">
        <f>COUNTIF('row data'!W$2:W$150,6)</f>
        <v>0</v>
      </c>
    </row>
    <row r="8" spans="1:23" ht="18.75" customHeight="1" x14ac:dyDescent="0.55000000000000004">
      <c r="A8" s="6">
        <v>7</v>
      </c>
      <c r="B8" s="9">
        <f>COUNTIF('row data'!B$2:B$150,7)</f>
        <v>0</v>
      </c>
      <c r="C8" s="9">
        <f>COUNTIF('row data'!C$2:C$150,7)</f>
        <v>0</v>
      </c>
      <c r="D8" s="9">
        <f>COUNTIF('row data'!D$2:D$150,7)</f>
        <v>0</v>
      </c>
      <c r="E8" s="9">
        <f>COUNTIF('row data'!E$2:E$150,7)</f>
        <v>0</v>
      </c>
      <c r="F8" s="9">
        <f>COUNTIF('row data'!F$2:F$150,7)</f>
        <v>0</v>
      </c>
      <c r="G8" s="9">
        <f>COUNTIF('row data'!G$2:G$150,7)</f>
        <v>0</v>
      </c>
      <c r="H8" s="9">
        <f>COUNTIF('row data'!H$2:H$150,7)</f>
        <v>0</v>
      </c>
      <c r="I8" s="9">
        <f>COUNTIF('row data'!I$2:I$150,7)</f>
        <v>0</v>
      </c>
      <c r="J8" s="9">
        <f>COUNTIF('row data'!J$2:J$150,7)</f>
        <v>0</v>
      </c>
      <c r="K8" s="9">
        <f>COUNTIF('row data'!K$2:K$150,7)</f>
        <v>0</v>
      </c>
      <c r="L8" s="9">
        <f>COUNTIF('row data'!L$2:L$150,7)</f>
        <v>0</v>
      </c>
      <c r="M8" s="9">
        <f>COUNTIF('row data'!M$2:M$150,7)</f>
        <v>0</v>
      </c>
      <c r="N8" s="9">
        <f>COUNTIF('row data'!N$2:N$150,7)</f>
        <v>0</v>
      </c>
      <c r="O8" s="9">
        <f>COUNTIF('row data'!O$2:O$150,7)</f>
        <v>0</v>
      </c>
      <c r="P8" s="9">
        <f>COUNTIF('row data'!P$2:P$150,7)</f>
        <v>0</v>
      </c>
      <c r="Q8" s="9">
        <f>COUNTIF('row data'!Q$2:Q$150,7)</f>
        <v>0</v>
      </c>
      <c r="R8" s="9">
        <f>COUNTIF('row data'!R$2:R$150,7)</f>
        <v>0</v>
      </c>
      <c r="S8" s="9">
        <f>COUNTIF('row data'!S$2:S$150,7)</f>
        <v>0</v>
      </c>
      <c r="T8" s="9">
        <f>COUNTIF('row data'!T$2:T$150,7)</f>
        <v>0</v>
      </c>
      <c r="U8" s="9">
        <f>COUNTIF('row data'!U$2:U$150,7)</f>
        <v>0</v>
      </c>
      <c r="V8" s="9">
        <f>COUNTIF('row data'!V$2:V$150,7)</f>
        <v>0</v>
      </c>
      <c r="W8" s="9">
        <f>COUNTIF('row data'!W$2:W$150,7)</f>
        <v>0</v>
      </c>
    </row>
    <row r="9" spans="1:23" x14ac:dyDescent="0.55000000000000004">
      <c r="A9" s="2"/>
    </row>
    <row r="10" spans="1:23" x14ac:dyDescent="0.55000000000000004">
      <c r="A10" s="3"/>
    </row>
    <row r="11" spans="1:23" x14ac:dyDescent="0.55000000000000004">
      <c r="A11" s="2"/>
    </row>
    <row r="12" spans="1:23" x14ac:dyDescent="0.55000000000000004">
      <c r="A12" s="2"/>
    </row>
    <row r="13" spans="1:23" x14ac:dyDescent="0.55000000000000004">
      <c r="A13" s="2"/>
    </row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5"/>
  <sheetViews>
    <sheetView zoomScale="80" zoomScaleNormal="100" zoomScaleSheetLayoutView="80" workbookViewId="0">
      <pane ySplit="2" topLeftCell="A3" activePane="bottomLeft" state="frozen"/>
      <selection pane="bottomLeft" activeCell="E12" sqref="E12"/>
    </sheetView>
  </sheetViews>
  <sheetFormatPr defaultColWidth="9.140625" defaultRowHeight="17.600000000000001" x14ac:dyDescent="0.55000000000000004"/>
  <cols>
    <col min="1" max="1" width="9.85546875" bestFit="1" customWidth="1"/>
    <col min="2" max="2" width="9.140625" bestFit="1" customWidth="1"/>
    <col min="5" max="5" width="9" customWidth="1"/>
    <col min="10" max="10" width="6.7109375" customWidth="1"/>
    <col min="11" max="17" width="9.640625" customWidth="1"/>
    <col min="24" max="24" width="9.7109375" customWidth="1"/>
    <col min="26" max="26" width="9.140625" bestFit="1" customWidth="1"/>
  </cols>
  <sheetData>
    <row r="1" spans="1:26" x14ac:dyDescent="0.4">
      <c r="A1" s="8" t="s">
        <v>7</v>
      </c>
      <c r="B1" s="8" t="s">
        <v>15</v>
      </c>
      <c r="C1" s="8" t="s">
        <v>0</v>
      </c>
      <c r="D1" s="8" t="s">
        <v>10</v>
      </c>
      <c r="E1" s="8" t="s">
        <v>12</v>
      </c>
      <c r="F1" s="8" t="s">
        <v>13</v>
      </c>
      <c r="G1" s="8" t="s">
        <v>6</v>
      </c>
      <c r="H1" s="8" t="s">
        <v>14</v>
      </c>
      <c r="I1" s="8" t="s">
        <v>1</v>
      </c>
      <c r="J1" s="8" t="s">
        <v>16</v>
      </c>
      <c r="K1" s="8" t="s">
        <v>17</v>
      </c>
      <c r="L1" s="8" t="s">
        <v>24</v>
      </c>
      <c r="M1" s="8" t="s">
        <v>21</v>
      </c>
      <c r="N1" s="8" t="s">
        <v>11</v>
      </c>
      <c r="O1" s="8" t="s">
        <v>18</v>
      </c>
      <c r="P1" s="8" t="s">
        <v>4</v>
      </c>
      <c r="Q1" s="8" t="s">
        <v>3</v>
      </c>
      <c r="R1" s="8" t="s">
        <v>8</v>
      </c>
      <c r="S1" s="8" t="s">
        <v>9</v>
      </c>
      <c r="T1" s="8" t="s">
        <v>23</v>
      </c>
      <c r="U1" s="8" t="s">
        <v>22</v>
      </c>
      <c r="V1" s="8" t="s">
        <v>2</v>
      </c>
      <c r="W1" s="8" t="s">
        <v>5</v>
      </c>
      <c r="X1" s="8" t="s">
        <v>19</v>
      </c>
      <c r="Y1" s="8" t="s">
        <v>20</v>
      </c>
      <c r="Z1" t="s">
        <v>25</v>
      </c>
    </row>
    <row r="2" spans="1:26" x14ac:dyDescent="0.55000000000000004">
      <c r="A2" s="6">
        <v>1</v>
      </c>
      <c r="B2" s="7" t="e">
        <f>'최종 집계'!B2 / $Z$2</f>
        <v>#DIV/0!</v>
      </c>
      <c r="C2" s="7" t="e">
        <f>'최종 집계'!C2 / $Z$2</f>
        <v>#DIV/0!</v>
      </c>
      <c r="D2" s="7" t="e">
        <f>'최종 집계'!D2 / $Z$2</f>
        <v>#DIV/0!</v>
      </c>
      <c r="E2" s="7" t="e">
        <f>'최종 집계'!E2 / $Z$2</f>
        <v>#DIV/0!</v>
      </c>
      <c r="F2" s="7" t="e">
        <f>'최종 집계'!F2 / $Z$2</f>
        <v>#DIV/0!</v>
      </c>
      <c r="G2" s="7" t="e">
        <f>'최종 집계'!G2 / $Z$2</f>
        <v>#DIV/0!</v>
      </c>
      <c r="H2" s="7" t="e">
        <f>'최종 집계'!H2 / $Z$2</f>
        <v>#DIV/0!</v>
      </c>
      <c r="I2" s="7" t="e">
        <f>'최종 집계'!I2 / $Z$2</f>
        <v>#DIV/0!</v>
      </c>
      <c r="J2" s="7" t="e">
        <f>'최종 집계'!J2 / $Z$2</f>
        <v>#DIV/0!</v>
      </c>
      <c r="K2" s="7" t="e">
        <f>'최종 집계'!K2 / $Z$2</f>
        <v>#DIV/0!</v>
      </c>
      <c r="L2" s="7" t="e">
        <f>'최종 집계'!L2 / $Z$2</f>
        <v>#DIV/0!</v>
      </c>
      <c r="M2" s="7" t="e">
        <f>'최종 집계'!M2 / $Z$2</f>
        <v>#DIV/0!</v>
      </c>
      <c r="N2" s="7" t="e">
        <f>'최종 집계'!N2 / $Z$2</f>
        <v>#DIV/0!</v>
      </c>
      <c r="O2" s="7" t="e">
        <f>'최종 집계'!O2 / $Z$2</f>
        <v>#DIV/0!</v>
      </c>
      <c r="P2" s="7" t="e">
        <f>'최종 집계'!P2 / $Z$2</f>
        <v>#DIV/0!</v>
      </c>
      <c r="Q2" s="7" t="e">
        <f>'최종 집계'!Q2 / $Z$2</f>
        <v>#DIV/0!</v>
      </c>
      <c r="R2" s="7" t="e">
        <f>'최종 집계'!R2 / $Z$2</f>
        <v>#DIV/0!</v>
      </c>
      <c r="S2" s="7" t="e">
        <f>'최종 집계'!S2 / $Z$2</f>
        <v>#DIV/0!</v>
      </c>
      <c r="T2" s="7" t="e">
        <f>'최종 집계'!T2 / $Z$2</f>
        <v>#DIV/0!</v>
      </c>
      <c r="U2" s="7" t="e">
        <f>'최종 집계'!U2 / $Z$2</f>
        <v>#DIV/0!</v>
      </c>
      <c r="V2" s="7" t="e">
        <f>'최종 집계'!V2 / $Z$2</f>
        <v>#DIV/0!</v>
      </c>
      <c r="W2" s="7" t="e">
        <f>'최종 집계'!W2 / $Z$2</f>
        <v>#DIV/0!</v>
      </c>
      <c r="Z2">
        <f>COUNTA('row data'!A:A)-1</f>
        <v>0</v>
      </c>
    </row>
    <row r="3" spans="1:26" x14ac:dyDescent="0.55000000000000004">
      <c r="A3" s="6">
        <v>2</v>
      </c>
      <c r="B3" s="7" t="e">
        <f>'최종 집계'!B3 / $Z$2</f>
        <v>#DIV/0!</v>
      </c>
      <c r="C3" s="7" t="e">
        <f>'최종 집계'!C3 / $Z$2</f>
        <v>#DIV/0!</v>
      </c>
      <c r="D3" s="7" t="e">
        <f>'최종 집계'!D3 / $Z$2</f>
        <v>#DIV/0!</v>
      </c>
      <c r="E3" s="7" t="e">
        <f>'최종 집계'!E3 / $Z$2</f>
        <v>#DIV/0!</v>
      </c>
      <c r="F3" s="7" t="e">
        <f>'최종 집계'!F3 / $Z$2</f>
        <v>#DIV/0!</v>
      </c>
      <c r="G3" s="7" t="e">
        <f>'최종 집계'!G3 / $Z$2</f>
        <v>#DIV/0!</v>
      </c>
      <c r="H3" s="7" t="e">
        <f>'최종 집계'!H3 / $Z$2</f>
        <v>#DIV/0!</v>
      </c>
      <c r="I3" s="7" t="e">
        <f>'최종 집계'!I3 / $Z$2</f>
        <v>#DIV/0!</v>
      </c>
      <c r="J3" s="7" t="e">
        <f>'최종 집계'!J3 / $Z$2</f>
        <v>#DIV/0!</v>
      </c>
      <c r="K3" s="7" t="e">
        <f>'최종 집계'!K3 / $Z$2</f>
        <v>#DIV/0!</v>
      </c>
      <c r="L3" s="7" t="e">
        <f>'최종 집계'!L3 / $Z$2</f>
        <v>#DIV/0!</v>
      </c>
      <c r="M3" s="7" t="e">
        <f>'최종 집계'!M3 / $Z$2</f>
        <v>#DIV/0!</v>
      </c>
      <c r="N3" s="7" t="e">
        <f>'최종 집계'!N3 / $Z$2</f>
        <v>#DIV/0!</v>
      </c>
      <c r="O3" s="7" t="e">
        <f>'최종 집계'!O3 / $Z$2</f>
        <v>#DIV/0!</v>
      </c>
      <c r="P3" s="7" t="e">
        <f>'최종 집계'!P3 / $Z$2</f>
        <v>#DIV/0!</v>
      </c>
      <c r="Q3" s="7" t="e">
        <f>'최종 집계'!Q3 / $Z$2</f>
        <v>#DIV/0!</v>
      </c>
      <c r="R3" s="7" t="e">
        <f>'최종 집계'!R3 / $Z$2</f>
        <v>#DIV/0!</v>
      </c>
      <c r="S3" s="7" t="e">
        <f>'최종 집계'!S3 / $Z$2</f>
        <v>#DIV/0!</v>
      </c>
      <c r="T3" s="7" t="e">
        <f>'최종 집계'!T3 / $Z$2</f>
        <v>#DIV/0!</v>
      </c>
      <c r="U3" s="7" t="e">
        <f>'최종 집계'!U3 / $Z$2</f>
        <v>#DIV/0!</v>
      </c>
      <c r="V3" s="7" t="e">
        <f>'최종 집계'!V3 / $Z$2</f>
        <v>#DIV/0!</v>
      </c>
      <c r="W3" s="7" t="e">
        <f>'최종 집계'!W3 / $Z$2</f>
        <v>#DIV/0!</v>
      </c>
    </row>
    <row r="4" spans="1:26" x14ac:dyDescent="0.55000000000000004">
      <c r="A4" s="6">
        <v>3</v>
      </c>
      <c r="B4" s="7" t="e">
        <f>'최종 집계'!B4 / $Z$2</f>
        <v>#DIV/0!</v>
      </c>
      <c r="C4" s="7" t="e">
        <f>'최종 집계'!C4 / $Z$2</f>
        <v>#DIV/0!</v>
      </c>
      <c r="D4" s="7" t="e">
        <f>'최종 집계'!D4 / $Z$2</f>
        <v>#DIV/0!</v>
      </c>
      <c r="E4" s="7" t="e">
        <f>'최종 집계'!E4 / $Z$2</f>
        <v>#DIV/0!</v>
      </c>
      <c r="F4" s="7" t="e">
        <f>'최종 집계'!F4 / $Z$2</f>
        <v>#DIV/0!</v>
      </c>
      <c r="G4" s="7" t="e">
        <f>'최종 집계'!G4 / $Z$2</f>
        <v>#DIV/0!</v>
      </c>
      <c r="H4" s="7" t="e">
        <f>'최종 집계'!H4 / $Z$2</f>
        <v>#DIV/0!</v>
      </c>
      <c r="I4" s="7" t="e">
        <f>'최종 집계'!I4 / $Z$2</f>
        <v>#DIV/0!</v>
      </c>
      <c r="J4" s="7" t="e">
        <f>'최종 집계'!J4 / $Z$2</f>
        <v>#DIV/0!</v>
      </c>
      <c r="K4" s="7" t="e">
        <f>'최종 집계'!K4 / $Z$2</f>
        <v>#DIV/0!</v>
      </c>
      <c r="L4" s="7" t="e">
        <f>'최종 집계'!L4 / $Z$2</f>
        <v>#DIV/0!</v>
      </c>
      <c r="M4" s="7" t="e">
        <f>'최종 집계'!M4 / $Z$2</f>
        <v>#DIV/0!</v>
      </c>
      <c r="N4" s="7" t="e">
        <f>'최종 집계'!N4 / $Z$2</f>
        <v>#DIV/0!</v>
      </c>
      <c r="O4" s="7" t="e">
        <f>'최종 집계'!O4 / $Z$2</f>
        <v>#DIV/0!</v>
      </c>
      <c r="P4" s="7" t="e">
        <f>'최종 집계'!P4 / $Z$2</f>
        <v>#DIV/0!</v>
      </c>
      <c r="Q4" s="7" t="e">
        <f>'최종 집계'!Q4 / $Z$2</f>
        <v>#DIV/0!</v>
      </c>
      <c r="R4" s="7" t="e">
        <f>'최종 집계'!R4 / $Z$2</f>
        <v>#DIV/0!</v>
      </c>
      <c r="S4" s="7" t="e">
        <f>'최종 집계'!S4 / $Z$2</f>
        <v>#DIV/0!</v>
      </c>
      <c r="T4" s="7" t="e">
        <f>'최종 집계'!T4 / $Z$2</f>
        <v>#DIV/0!</v>
      </c>
      <c r="U4" s="7" t="e">
        <f>'최종 집계'!U4 / $Z$2</f>
        <v>#DIV/0!</v>
      </c>
      <c r="V4" s="7" t="e">
        <f>'최종 집계'!V4 / $Z$2</f>
        <v>#DIV/0!</v>
      </c>
      <c r="W4" s="7" t="e">
        <f>'최종 집계'!W4 / $Z$2</f>
        <v>#DIV/0!</v>
      </c>
    </row>
    <row r="5" spans="1:26" x14ac:dyDescent="0.55000000000000004">
      <c r="A5" s="6">
        <v>4</v>
      </c>
      <c r="B5" s="7" t="e">
        <f>'최종 집계'!B5 / $Z$2</f>
        <v>#DIV/0!</v>
      </c>
      <c r="C5" s="7" t="e">
        <f>'최종 집계'!C5 / $Z$2</f>
        <v>#DIV/0!</v>
      </c>
      <c r="D5" s="7" t="e">
        <f>'최종 집계'!D5 / $Z$2</f>
        <v>#DIV/0!</v>
      </c>
      <c r="E5" s="7" t="e">
        <f>'최종 집계'!E5 / $Z$2</f>
        <v>#DIV/0!</v>
      </c>
      <c r="F5" s="7" t="e">
        <f>'최종 집계'!F5 / $Z$2</f>
        <v>#DIV/0!</v>
      </c>
      <c r="G5" s="7" t="e">
        <f>'최종 집계'!G5 / $Z$2</f>
        <v>#DIV/0!</v>
      </c>
      <c r="H5" s="7" t="e">
        <f>'최종 집계'!H5 / $Z$2</f>
        <v>#DIV/0!</v>
      </c>
      <c r="I5" s="7" t="e">
        <f>'최종 집계'!I5 / $Z$2</f>
        <v>#DIV/0!</v>
      </c>
      <c r="J5" s="7" t="e">
        <f>'최종 집계'!J5 / $Z$2</f>
        <v>#DIV/0!</v>
      </c>
      <c r="K5" s="7" t="e">
        <f>'최종 집계'!K5 / $Z$2</f>
        <v>#DIV/0!</v>
      </c>
      <c r="L5" s="7" t="e">
        <f>'최종 집계'!L5 / $Z$2</f>
        <v>#DIV/0!</v>
      </c>
      <c r="M5" s="7" t="e">
        <f>'최종 집계'!M5 / $Z$2</f>
        <v>#DIV/0!</v>
      </c>
      <c r="N5" s="7" t="e">
        <f>'최종 집계'!N5 / $Z$2</f>
        <v>#DIV/0!</v>
      </c>
      <c r="O5" s="7" t="e">
        <f>'최종 집계'!O5 / $Z$2</f>
        <v>#DIV/0!</v>
      </c>
      <c r="P5" s="7" t="e">
        <f>'최종 집계'!P5 / $Z$2</f>
        <v>#DIV/0!</v>
      </c>
      <c r="Q5" s="7" t="e">
        <f>'최종 집계'!Q5 / $Z$2</f>
        <v>#DIV/0!</v>
      </c>
      <c r="R5" s="7" t="e">
        <f>'최종 집계'!R5 / $Z$2</f>
        <v>#DIV/0!</v>
      </c>
      <c r="S5" s="7" t="e">
        <f>'최종 집계'!S5 / $Z$2</f>
        <v>#DIV/0!</v>
      </c>
      <c r="T5" s="7" t="e">
        <f>'최종 집계'!T5 / $Z$2</f>
        <v>#DIV/0!</v>
      </c>
      <c r="U5" s="7" t="e">
        <f>'최종 집계'!U5 / $Z$2</f>
        <v>#DIV/0!</v>
      </c>
      <c r="V5" s="7" t="e">
        <f>'최종 집계'!V5 / $Z$2</f>
        <v>#DIV/0!</v>
      </c>
      <c r="W5" s="7" t="e">
        <f>'최종 집계'!W5 / $Z$2</f>
        <v>#DIV/0!</v>
      </c>
    </row>
    <row r="6" spans="1:26" x14ac:dyDescent="0.55000000000000004">
      <c r="A6" s="6">
        <v>5</v>
      </c>
      <c r="B6" s="7" t="e">
        <f>'최종 집계'!B6 / $Z$2</f>
        <v>#DIV/0!</v>
      </c>
      <c r="C6" s="7" t="e">
        <f>'최종 집계'!C6 / $Z$2</f>
        <v>#DIV/0!</v>
      </c>
      <c r="D6" s="7" t="e">
        <f>'최종 집계'!D6 / $Z$2</f>
        <v>#DIV/0!</v>
      </c>
      <c r="E6" s="7" t="e">
        <f>'최종 집계'!E6 / $Z$2</f>
        <v>#DIV/0!</v>
      </c>
      <c r="F6" s="7" t="e">
        <f>'최종 집계'!F6 / $Z$2</f>
        <v>#DIV/0!</v>
      </c>
      <c r="G6" s="7" t="e">
        <f>'최종 집계'!G6 / $Z$2</f>
        <v>#DIV/0!</v>
      </c>
      <c r="H6" s="7" t="e">
        <f>'최종 집계'!H6 / $Z$2</f>
        <v>#DIV/0!</v>
      </c>
      <c r="I6" s="7" t="e">
        <f>'최종 집계'!I6 / $Z$2</f>
        <v>#DIV/0!</v>
      </c>
      <c r="J6" s="7" t="e">
        <f>'최종 집계'!J6 / $Z$2</f>
        <v>#DIV/0!</v>
      </c>
      <c r="K6" s="7" t="e">
        <f>'최종 집계'!K6 / $Z$2</f>
        <v>#DIV/0!</v>
      </c>
      <c r="L6" s="7" t="e">
        <f>'최종 집계'!L6 / $Z$2</f>
        <v>#DIV/0!</v>
      </c>
      <c r="M6" s="7" t="e">
        <f>'최종 집계'!M6 / $Z$2</f>
        <v>#DIV/0!</v>
      </c>
      <c r="N6" s="7" t="e">
        <f>'최종 집계'!N6 / $Z$2</f>
        <v>#DIV/0!</v>
      </c>
      <c r="O6" s="7" t="e">
        <f>'최종 집계'!O6 / $Z$2</f>
        <v>#DIV/0!</v>
      </c>
      <c r="P6" s="7" t="e">
        <f>'최종 집계'!P6 / $Z$2</f>
        <v>#DIV/0!</v>
      </c>
      <c r="Q6" s="7" t="e">
        <f>'최종 집계'!Q6 / $Z$2</f>
        <v>#DIV/0!</v>
      </c>
      <c r="R6" s="7" t="e">
        <f>'최종 집계'!R6 / $Z$2</f>
        <v>#DIV/0!</v>
      </c>
      <c r="S6" s="7" t="e">
        <f>'최종 집계'!S6 / $Z$2</f>
        <v>#DIV/0!</v>
      </c>
      <c r="T6" s="7" t="e">
        <f>'최종 집계'!T6 / $Z$2</f>
        <v>#DIV/0!</v>
      </c>
      <c r="U6" s="7" t="e">
        <f>'최종 집계'!U6 / $Z$2</f>
        <v>#DIV/0!</v>
      </c>
      <c r="V6" s="7" t="e">
        <f>'최종 집계'!V6 / $Z$2</f>
        <v>#DIV/0!</v>
      </c>
      <c r="W6" s="7" t="e">
        <f>'최종 집계'!W6 / $Z$2</f>
        <v>#DIV/0!</v>
      </c>
    </row>
    <row r="7" spans="1:26" x14ac:dyDescent="0.55000000000000004">
      <c r="A7" s="6">
        <v>6</v>
      </c>
      <c r="B7" s="7" t="e">
        <f>'최종 집계'!B7 / $Z$2</f>
        <v>#DIV/0!</v>
      </c>
      <c r="C7" s="7" t="e">
        <f>'최종 집계'!C7 / $Z$2</f>
        <v>#DIV/0!</v>
      </c>
      <c r="D7" s="7" t="e">
        <f>'최종 집계'!D7 / $Z$2</f>
        <v>#DIV/0!</v>
      </c>
      <c r="E7" s="7" t="e">
        <f>'최종 집계'!E7 / $Z$2</f>
        <v>#DIV/0!</v>
      </c>
      <c r="F7" s="7" t="e">
        <f>'최종 집계'!F7 / $Z$2</f>
        <v>#DIV/0!</v>
      </c>
      <c r="G7" s="7" t="e">
        <f>'최종 집계'!G7 / $Z$2</f>
        <v>#DIV/0!</v>
      </c>
      <c r="H7" s="7" t="e">
        <f>'최종 집계'!H7 / $Z$2</f>
        <v>#DIV/0!</v>
      </c>
      <c r="I7" s="7" t="e">
        <f>'최종 집계'!I7 / $Z$2</f>
        <v>#DIV/0!</v>
      </c>
      <c r="J7" s="7" t="e">
        <f>'최종 집계'!J7 / $Z$2</f>
        <v>#DIV/0!</v>
      </c>
      <c r="K7" s="7" t="e">
        <f>'최종 집계'!K7 / $Z$2</f>
        <v>#DIV/0!</v>
      </c>
      <c r="L7" s="7" t="e">
        <f>'최종 집계'!L7 / $Z$2</f>
        <v>#DIV/0!</v>
      </c>
      <c r="M7" s="7" t="e">
        <f>'최종 집계'!M7 / $Z$2</f>
        <v>#DIV/0!</v>
      </c>
      <c r="N7" s="7" t="e">
        <f>'최종 집계'!N7 / $Z$2</f>
        <v>#DIV/0!</v>
      </c>
      <c r="O7" s="7" t="e">
        <f>'최종 집계'!O7 / $Z$2</f>
        <v>#DIV/0!</v>
      </c>
      <c r="P7" s="7" t="e">
        <f>'최종 집계'!P7 / $Z$2</f>
        <v>#DIV/0!</v>
      </c>
      <c r="Q7" s="7" t="e">
        <f>'최종 집계'!Q7 / $Z$2</f>
        <v>#DIV/0!</v>
      </c>
      <c r="R7" s="7" t="e">
        <f>'최종 집계'!R7 / $Z$2</f>
        <v>#DIV/0!</v>
      </c>
      <c r="S7" s="7" t="e">
        <f>'최종 집계'!S7 / $Z$2</f>
        <v>#DIV/0!</v>
      </c>
      <c r="T7" s="7" t="e">
        <f>'최종 집계'!T7 / $Z$2</f>
        <v>#DIV/0!</v>
      </c>
      <c r="U7" s="7" t="e">
        <f>'최종 집계'!U7 / $Z$2</f>
        <v>#DIV/0!</v>
      </c>
      <c r="V7" s="7" t="e">
        <f>'최종 집계'!V7 / $Z$2</f>
        <v>#DIV/0!</v>
      </c>
      <c r="W7" s="7" t="e">
        <f>'최종 집계'!W7 / $Z$2</f>
        <v>#DIV/0!</v>
      </c>
    </row>
    <row r="8" spans="1:26" x14ac:dyDescent="0.55000000000000004">
      <c r="A8" s="6">
        <v>7</v>
      </c>
      <c r="B8" s="7" t="e">
        <f>'최종 집계'!B8 / $Z$2</f>
        <v>#DIV/0!</v>
      </c>
      <c r="C8" s="7" t="e">
        <f>'최종 집계'!C8 / $Z$2</f>
        <v>#DIV/0!</v>
      </c>
      <c r="D8" s="7" t="e">
        <f>'최종 집계'!D8 / $Z$2</f>
        <v>#DIV/0!</v>
      </c>
      <c r="E8" s="7" t="e">
        <f>'최종 집계'!E8 / $Z$2</f>
        <v>#DIV/0!</v>
      </c>
      <c r="F8" s="7" t="e">
        <f>'최종 집계'!F8 / $Z$2</f>
        <v>#DIV/0!</v>
      </c>
      <c r="G8" s="7" t="e">
        <f>'최종 집계'!G8 / $Z$2</f>
        <v>#DIV/0!</v>
      </c>
      <c r="H8" s="7" t="e">
        <f>'최종 집계'!H8 / $Z$2</f>
        <v>#DIV/0!</v>
      </c>
      <c r="I8" s="7" t="e">
        <f>'최종 집계'!I8 / $Z$2</f>
        <v>#DIV/0!</v>
      </c>
      <c r="J8" s="7" t="e">
        <f>'최종 집계'!J8 / $Z$2</f>
        <v>#DIV/0!</v>
      </c>
      <c r="K8" s="7" t="e">
        <f>'최종 집계'!K8 / $Z$2</f>
        <v>#DIV/0!</v>
      </c>
      <c r="L8" s="7" t="e">
        <f>'최종 집계'!L8 / $Z$2</f>
        <v>#DIV/0!</v>
      </c>
      <c r="M8" s="7" t="e">
        <f>'최종 집계'!M8 / $Z$2</f>
        <v>#DIV/0!</v>
      </c>
      <c r="N8" s="7" t="e">
        <f>'최종 집계'!N8 / $Z$2</f>
        <v>#DIV/0!</v>
      </c>
      <c r="O8" s="7" t="e">
        <f>'최종 집계'!O8 / $Z$2</f>
        <v>#DIV/0!</v>
      </c>
      <c r="P8" s="7" t="e">
        <f>'최종 집계'!P8 / $Z$2</f>
        <v>#DIV/0!</v>
      </c>
      <c r="Q8" s="7" t="e">
        <f>'최종 집계'!Q8 / $Z$2</f>
        <v>#DIV/0!</v>
      </c>
      <c r="R8" s="7" t="e">
        <f>'최종 집계'!R8 / $Z$2</f>
        <v>#DIV/0!</v>
      </c>
      <c r="S8" s="7" t="e">
        <f>'최종 집계'!S8 / $Z$2</f>
        <v>#DIV/0!</v>
      </c>
      <c r="T8" s="7" t="e">
        <f>'최종 집계'!T8 / $Z$2</f>
        <v>#DIV/0!</v>
      </c>
      <c r="U8" s="7" t="e">
        <f>'최종 집계'!U8 / $Z$2</f>
        <v>#DIV/0!</v>
      </c>
      <c r="V8" s="7" t="e">
        <f>'최종 집계'!V8 / $Z$2</f>
        <v>#DIV/0!</v>
      </c>
      <c r="W8" s="7" t="e">
        <f>'최종 집계'!W8 / $Z$2</f>
        <v>#DIV/0!</v>
      </c>
    </row>
    <row r="9" spans="1:26" x14ac:dyDescent="0.55000000000000004">
      <c r="A9" s="2"/>
      <c r="B9" s="7" t="e">
        <f>SUM(B2:B8)</f>
        <v>#DIV/0!</v>
      </c>
      <c r="C9" s="7" t="e">
        <f t="shared" ref="C9:W9" si="0">SUM(C2:C8)</f>
        <v>#DIV/0!</v>
      </c>
      <c r="D9" s="7" t="e">
        <f t="shared" si="0"/>
        <v>#DIV/0!</v>
      </c>
      <c r="E9" s="7" t="e">
        <f t="shared" si="0"/>
        <v>#DIV/0!</v>
      </c>
      <c r="F9" s="7" t="e">
        <f t="shared" si="0"/>
        <v>#DIV/0!</v>
      </c>
      <c r="G9" s="7" t="e">
        <f t="shared" si="0"/>
        <v>#DIV/0!</v>
      </c>
      <c r="H9" s="7" t="e">
        <f t="shared" si="0"/>
        <v>#DIV/0!</v>
      </c>
      <c r="I9" s="7" t="e">
        <f t="shared" si="0"/>
        <v>#DIV/0!</v>
      </c>
      <c r="J9" s="7" t="e">
        <f t="shared" si="0"/>
        <v>#DIV/0!</v>
      </c>
      <c r="K9" s="7" t="e">
        <f t="shared" si="0"/>
        <v>#DIV/0!</v>
      </c>
      <c r="L9" s="7" t="e">
        <f t="shared" si="0"/>
        <v>#DIV/0!</v>
      </c>
      <c r="M9" s="7" t="e">
        <f t="shared" si="0"/>
        <v>#DIV/0!</v>
      </c>
      <c r="N9" s="7" t="e">
        <f t="shared" si="0"/>
        <v>#DIV/0!</v>
      </c>
      <c r="O9" s="7" t="e">
        <f t="shared" si="0"/>
        <v>#DIV/0!</v>
      </c>
      <c r="P9" s="7" t="e">
        <f t="shared" si="0"/>
        <v>#DIV/0!</v>
      </c>
      <c r="Q9" s="7" t="e">
        <f t="shared" si="0"/>
        <v>#DIV/0!</v>
      </c>
      <c r="R9" s="7" t="e">
        <f t="shared" si="0"/>
        <v>#DIV/0!</v>
      </c>
      <c r="S9" s="7" t="e">
        <f t="shared" si="0"/>
        <v>#DIV/0!</v>
      </c>
      <c r="T9" s="7" t="e">
        <f t="shared" si="0"/>
        <v>#DIV/0!</v>
      </c>
      <c r="U9" s="7" t="e">
        <f t="shared" si="0"/>
        <v>#DIV/0!</v>
      </c>
      <c r="V9" s="7" t="e">
        <f t="shared" si="0"/>
        <v>#DIV/0!</v>
      </c>
      <c r="W9" s="7" t="e">
        <f t="shared" si="0"/>
        <v>#DIV/0!</v>
      </c>
    </row>
    <row r="10" spans="1:26" x14ac:dyDescent="0.55000000000000004">
      <c r="A10" s="2"/>
    </row>
    <row r="11" spans="1:26" x14ac:dyDescent="0.55000000000000004">
      <c r="A11" s="2"/>
    </row>
    <row r="12" spans="1:26" x14ac:dyDescent="0.55000000000000004">
      <c r="A12" s="3"/>
    </row>
    <row r="13" spans="1:26" x14ac:dyDescent="0.55000000000000004">
      <c r="A13" s="2"/>
    </row>
    <row r="14" spans="1:26" x14ac:dyDescent="0.55000000000000004">
      <c r="A14" s="2"/>
    </row>
    <row r="15" spans="1:26" x14ac:dyDescent="0.55000000000000004">
      <c r="A15" s="2"/>
    </row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5"/>
  <sheetViews>
    <sheetView tabSelected="1" zoomScale="70" zoomScaleNormal="70" zoomScaleSheetLayoutView="100" workbookViewId="0">
      <pane ySplit="1" topLeftCell="A77" activePane="bottomLeft" state="frozen"/>
      <selection pane="bottomLeft" activeCell="A2" sqref="A2:Y105"/>
    </sheetView>
  </sheetViews>
  <sheetFormatPr defaultColWidth="9.140625" defaultRowHeight="17.600000000000001" x14ac:dyDescent="0.55000000000000004"/>
  <cols>
    <col min="2" max="11" width="9.140625" bestFit="1" customWidth="1"/>
    <col min="12" max="13" width="9.85546875" bestFit="1" customWidth="1"/>
    <col min="14" max="14" width="9.140625" bestFit="1" customWidth="1"/>
    <col min="20" max="21" width="9.85546875" bestFit="1" customWidth="1"/>
    <col min="23" max="23" width="9.85546875" bestFit="1" customWidth="1"/>
    <col min="26" max="26" width="9.140625" bestFit="1" customWidth="1"/>
  </cols>
  <sheetData>
    <row r="1" spans="1:25" x14ac:dyDescent="0.4">
      <c r="A1" s="10" t="s">
        <v>7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 t="s">
        <v>24</v>
      </c>
      <c r="M1" s="8" t="s">
        <v>21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 t="s">
        <v>23</v>
      </c>
      <c r="U1" s="8" t="s">
        <v>22</v>
      </c>
      <c r="V1" s="8">
        <v>19</v>
      </c>
      <c r="W1" s="8">
        <v>20</v>
      </c>
      <c r="X1" s="8" t="s">
        <v>26</v>
      </c>
      <c r="Y1" s="8" t="s">
        <v>27</v>
      </c>
    </row>
    <row r="2" spans="1:25" s="8" customFormat="1" ht="14.6" x14ac:dyDescent="0.4"/>
    <row r="3" spans="1:25" s="8" customFormat="1" ht="14.6" x14ac:dyDescent="0.4"/>
    <row r="4" spans="1:25" s="8" customFormat="1" ht="15" x14ac:dyDescent="0.4">
      <c r="X4" s="10"/>
    </row>
    <row r="5" spans="1:25" s="8" customFormat="1" ht="14.6" x14ac:dyDescent="0.4"/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최종 집계</vt:lpstr>
      <vt:lpstr>퍼센트</vt:lpstr>
      <vt:lpstr>row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임형호</dc:creator>
  <cp:lastModifiedBy>임형호</cp:lastModifiedBy>
  <cp:revision>8</cp:revision>
  <dcterms:created xsi:type="dcterms:W3CDTF">2025-06-12T05:40:09Z</dcterms:created>
  <dcterms:modified xsi:type="dcterms:W3CDTF">2026-06-10T07:17:19Z</dcterms:modified>
  <cp:version>1300.0100.01</cp:version>
</cp:coreProperties>
</file>